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bhishek\Downloads\"/>
    </mc:Choice>
  </mc:AlternateContent>
  <xr:revisionPtr revIDLastSave="0" documentId="13_ncr:1_{0A164645-BC48-4B9A-B071-4A0B11E6979C}" xr6:coauthVersionLast="47" xr6:coauthVersionMax="47" xr10:uidLastSave="{00000000-0000-0000-0000-000000000000}"/>
  <bookViews>
    <workbookView xWindow="-108" yWindow="-108" windowWidth="23256" windowHeight="1389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_xlnm._FilterDatabase" localSheetId="4" hidden="1">Task_3!$A$15:$F$54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35" i="20"/>
  <c r="C34" i="20"/>
  <c r="C33" i="20"/>
  <c r="C32" i="20"/>
  <c r="C31" i="20"/>
  <c r="C30" i="20"/>
  <c r="C29" i="20"/>
  <c r="C27" i="20"/>
  <c r="C26" i="20"/>
  <c r="C25" i="20"/>
  <c r="C24" i="20"/>
  <c r="C28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<sst xmlns="http://schemas.openxmlformats.org/spreadsheetml/2006/main" count="527" uniqueCount="225">
  <si>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</si>
  <si>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</si>
  <si>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</si>
  <si>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</si>
  <si>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</si>
  <si>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</si>
  <si>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</si>
  <si>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</si>
  <si>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</si>
  <si>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</si>
  <si>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</si>
  <si>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</si>
  <si>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</si>
  <si>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</si>
  <si>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</si>
  <si>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</si>
  <si>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</si>
  <si>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</si>
  <si>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</si>
  <si>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</si>
  <si>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</si>
  <si>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</si>
  <si>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</si>
  <si>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</si>
  <si>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</si>
  <si>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</si>
  <si>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</si>
  <si>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</si>
  <si>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</si>
  <si>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</si>
  <si>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</si>
  <si>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</si>
  <si>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</si>
  <si>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</si>
  <si>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</si>
  <si>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</si>
  <si>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</si>
  <si>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</si>
  <si>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</si>
  <si>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</si>
  <si>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</si>
  <si>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</si>
  <si>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</si>
  <si>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</si>
  <si>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</si>
  <si>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</si>
  <si>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</si>
  <si>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</si>
  <si>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</si>
  <si>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</si>
  <si>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</si>
  <si>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</si>
  <si>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</si>
  <si>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</si>
  <si>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</si>
  <si>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</si>
  <si>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</si>
  <si>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</si>
  <si>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</si>
  <si>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</si>
  <si>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</si>
  <si>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</si>
  <si>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</si>
  <si>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</si>
  <si>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</si>
  <si>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</si>
  <si>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</si>
  <si>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</si>
  <si>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</si>
  <si>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</si>
  <si>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</si>
  <si>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</si>
  <si>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</si>
  <si>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</si>
  <si>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</si>
  <si>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</si>
  <si>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</si>
  <si>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</si>
  <si>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</si>
  <si>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</si>
  <si>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</si>
  <si>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</si>
  <si>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</si>
  <si>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</si>
  <si>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</si>
  <si>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</si>
  <si>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</si>
  <si>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</si>
  <si>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</si>
  <si>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</si>
  <si>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</si>
  <si>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</si>
  <si>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</si>
  <si>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</si>
  <si>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</si>
  <si>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</si>
  <si>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</si>
  <si>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</si>
  <si>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</si>
  <si>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</si>
  <si>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</si>
  <si>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</si>
  <si>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</si>
  <si>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</si>
  <si>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</si>
  <si>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</si>
  <si>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</si>
  <si>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</si>
  <si>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</si>
  <si>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</si>
  <si>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</si>
  <si>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</si>
  <si>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</si>
  <si>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</si>
  <si>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</si>
  <si>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</si>
  <si>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</si>
  <si>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</si>
  <si>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</si>
  <si>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</si>
  <si>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</si>
  <si>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</si>
  <si>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</si>
  <si>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</si>
  <si>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</si>
  <si>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</si>
  <si>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</si>
  <si>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</si>
  <si>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</si>
  <si>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</si>
  <si>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</si>
  <si>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</si>
  <si>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</si>
  <si>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</si>
  <si>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</si>
  <si>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</si>
  <si>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</si>
  <si>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</si>
  <si>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</si>
  <si>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</si>
  <si>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</si>
  <si>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</si>
  <si>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</si>
  <si>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</si>
  <si>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</si>
  <si>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</si>
  <si>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</si>
  <si>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</si>
  <si>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</si>
  <si>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</si>
  <si>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</si>
  <si>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</si>
  <si>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</si>
  <si>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</si>
  <si>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</si>
  <si>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</si>
  <si>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</si>
  <si>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</si>
  <si>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</si>
  <si>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</si>
  <si>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</si>
  <si>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</si>
  <si>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</si>
  <si>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</si>
  <si>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</si>
  <si>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</si>
  <si>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</si>
  <si>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</si>
  <si>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</si>
  <si>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</si>
  <si>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</si>
  <si>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</si>
  <si>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</si>
  <si>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</si>
  <si>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</si>
  <si>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</si>
  <si>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"=SUMIF(H2:H40,"&gt;20",H2:H40)"</t>
  </si>
  <si>
    <t>done</t>
  </si>
  <si>
    <t>20000</t>
  </si>
  <si>
    <t>0</t>
  </si>
  <si>
    <t>24</t>
  </si>
  <si>
    <t>20002</t>
  </si>
  <si>
    <t>20004</t>
  </si>
  <si>
    <t>20006</t>
  </si>
  <si>
    <t>20008</t>
  </si>
  <si>
    <t>20010</t>
  </si>
  <si>
    <t>20012</t>
  </si>
  <si>
    <t>20014</t>
  </si>
  <si>
    <t>20016</t>
  </si>
  <si>
    <t>20018</t>
  </si>
  <si>
    <t>20020</t>
  </si>
  <si>
    <t>20022</t>
  </si>
  <si>
    <t>20024</t>
  </si>
  <si>
    <t>20026</t>
  </si>
  <si>
    <t>20028</t>
  </si>
  <si>
    <t>20030</t>
  </si>
  <si>
    <t>20032</t>
  </si>
  <si>
    <t>20034</t>
  </si>
  <si>
    <t>20036</t>
  </si>
  <si>
    <t>20038</t>
  </si>
  <si>
    <t>20040</t>
  </si>
  <si>
    <t>20042</t>
  </si>
  <si>
    <t>20044</t>
  </si>
  <si>
    <t>20046</t>
  </si>
  <si>
    <t>20048</t>
  </si>
  <si>
    <t>20050</t>
  </si>
  <si>
    <t>20052</t>
  </si>
  <si>
    <t>20054</t>
  </si>
  <si>
    <t>20058</t>
  </si>
  <si>
    <t>20060</t>
  </si>
  <si>
    <t>21000</t>
  </si>
  <si>
    <t>21002</t>
  </si>
  <si>
    <t>21004</t>
  </si>
  <si>
    <t>21006</t>
  </si>
  <si>
    <t>21008</t>
  </si>
  <si>
    <t>21010</t>
  </si>
  <si>
    <t>21012</t>
  </si>
  <si>
    <t>21014</t>
  </si>
  <si>
    <t>21016</t>
  </si>
  <si>
    <t>Data &gt; Text toColumns</t>
  </si>
  <si>
    <t>"=SUM(AGGREGATE(9,6,C12:C21),20*COUNTIF(C12:C21,"#N/A"))"</t>
  </si>
  <si>
    <t>ROW NUM</t>
  </si>
  <si>
    <t>"=INDEX(B10:J18,VLOOKUP(A23,M10:O18,3,0),VLOOKUP(B23,M10:O18,3,0))"
In the above formula, I have used INDEX function which required array, rownum, colnum.
To get row and col num, I have declared "ROW NUM" column in Table_B and generated sequence in synch with Name column in Table_B. like 1,2,3,..., etc.
Now I have use VLOOKUP to get those value as rownum and colnum in INDEX function.</t>
  </si>
  <si>
    <t>Aggregate fun: 
9 - SUM
6 - Ignore error values
Queied multiplication of Count of "#N/A" *20
Finally performed sum of all</t>
  </si>
  <si>
    <t>Red, Green -  Using conditional formatting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</si>
</sst>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i/>
      <sz val="10"/>
      <color theme="9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0" xfId="0" applyFont="1" applyFill="1"/>
    <xf numFmtId="166" fontId="7" fillId="0" borderId="0" xfId="0" applyNumberFormat="1" applyFont="1"/>
    <xf numFmtId="166" fontId="3" fillId="0" borderId="0" xfId="0" applyNumberFormat="1" applyFont="1"/>
    <xf numFmtId="49" fontId="3" fillId="0" borderId="7" xfId="0" applyNumberFormat="1" applyFont="1" applyBorder="1"/>
    <xf numFmtId="49" fontId="3" fillId="0" borderId="0" xfId="0" applyNumberFormat="1" applyFont="1"/>
    <xf numFmtId="49" fontId="3" fillId="0" borderId="8" xfId="0" applyNumberFormat="1" applyFont="1" applyBorder="1"/>
    <xf numFmtId="49" fontId="3" fillId="0" borderId="5" xfId="0" applyNumberFormat="1" applyFont="1" applyBorder="1"/>
    <xf numFmtId="0" fontId="3" fillId="0" borderId="0" xfId="0" applyFont="1" applyAlignment="1">
      <alignment wrapText="1"/>
    </xf>
    <xf numFmtId="0" fontId="8" fillId="7" borderId="1" xfId="0" applyFont="1" applyFill="1" applyBorder="1"/>
    <xf numFmtId="0" fontId="8" fillId="0" borderId="0" xfId="0" applyFont="1" applyAlignment="1">
      <alignment wrapText="1"/>
    </xf>
    <xf numFmtId="0" fontId="17" fillId="0" borderId="0" xfId="0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5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54</v>
      </c>
      <c r="B11" s="35">
        <v>30</v>
      </c>
    </row>
    <row r="12" spans="1:3" x14ac:dyDescent="0.3">
      <c r="A12" s="33" t="s">
        <v>55</v>
      </c>
      <c r="B12" s="35">
        <v>10</v>
      </c>
    </row>
    <row r="13" spans="1:3" x14ac:dyDescent="0.3">
      <c r="A13" s="33" t="s">
        <v>84</v>
      </c>
      <c r="B13" s="35">
        <v>20</v>
      </c>
    </row>
    <row r="14" spans="1:3" x14ac:dyDescent="0.3">
      <c r="A14" s="33" t="s">
        <v>97</v>
      </c>
      <c r="B14" s="35">
        <v>40</v>
      </c>
    </row>
    <row r="15" spans="1:3" x14ac:dyDescent="0.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8" activePane="bottomLeft" state="frozen"/>
      <selection pane="bottomLeft" activeCell="H11" sqref="H1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5" t="s">
        <v>104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44">
        <f>SUMIF(H2:H40,"&gt;20",H2:H40)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4" sqref="C14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46</v>
      </c>
      <c r="B1" s="4" t="s">
        <v>47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106</v>
      </c>
      <c r="C3" s="54" t="s">
        <v>224</v>
      </c>
      <c r="D3" s="1" t="s">
        <v>177</v>
      </c>
      <c r="E3" s="1">
        <v>5</v>
      </c>
    </row>
    <row r="4" spans="1:5" x14ac:dyDescent="0.3">
      <c r="A4" s="6">
        <v>2</v>
      </c>
      <c r="B4" s="2" t="s">
        <v>45</v>
      </c>
      <c r="C4" s="2"/>
      <c r="D4" s="1" t="s">
        <v>177</v>
      </c>
      <c r="E4" s="1">
        <v>5</v>
      </c>
    </row>
    <row r="5" spans="1:5" x14ac:dyDescent="0.3">
      <c r="A5" s="6">
        <v>3</v>
      </c>
      <c r="B5" s="2" t="s">
        <v>103</v>
      </c>
      <c r="C5" s="55" t="s">
        <v>176</v>
      </c>
      <c r="D5" s="1" t="s">
        <v>177</v>
      </c>
      <c r="E5" s="1">
        <v>10</v>
      </c>
    </row>
    <row r="6" spans="1:5" x14ac:dyDescent="0.3">
      <c r="A6" s="6">
        <v>4</v>
      </c>
      <c r="B6" s="2" t="s">
        <v>105</v>
      </c>
      <c r="C6" s="2"/>
      <c r="D6" s="1" t="s">
        <v>177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J29" sqref="J2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54</v>
      </c>
      <c r="B1" s="39" t="s">
        <v>163</v>
      </c>
    </row>
    <row r="2" spans="1:7" s="39" customFormat="1" ht="21" x14ac:dyDescent="0.4">
      <c r="B2" s="39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4" x14ac:dyDescent="0.3">
      <c r="A6" s="7" t="s">
        <v>40</v>
      </c>
      <c r="B6" s="11">
        <f>VLOOKUP(A6,Dataset!A:G,7,FALSE)</f>
        <v>2.7</v>
      </c>
      <c r="C6" s="11">
        <f>VLOOKUP(A6,Dataset!A:M,13,FALSE)</f>
        <v>5.3</v>
      </c>
      <c r="D6" s="11">
        <f>VLOOKUP(A6,Dataset!A:R,18,FALSE)</f>
        <v>4.2</v>
      </c>
      <c r="E6" s="11">
        <f>VLOOKUP(A6,Dataset!A:T,20,FALSE)</f>
        <v>8.9</v>
      </c>
      <c r="F6" s="8">
        <f>VLOOKUP(A6,Dataset!A:V,22,FALSE)</f>
        <v>4.2</v>
      </c>
    </row>
    <row r="7" spans="1:7" ht="14.4" x14ac:dyDescent="0.3">
      <c r="A7" s="7" t="s">
        <v>4</v>
      </c>
      <c r="B7" s="11">
        <f>VLOOKUP(A7,Dataset!A:G,7,FALSE)</f>
        <v>2.7</v>
      </c>
      <c r="C7" s="11">
        <f>VLOOKUP(A7,Dataset!A:M,13,FALSE)</f>
        <v>5.3</v>
      </c>
      <c r="D7" s="11">
        <f>VLOOKUP(A7,Dataset!A:R,18,FALSE)</f>
        <v>4.2</v>
      </c>
      <c r="E7" s="11">
        <f>VLOOKUP(A7,Dataset!A:T,20,FALSE)</f>
        <v>8.9</v>
      </c>
      <c r="F7" s="8">
        <f>VLOOKUP(A7,Dataset!A:V,22,FALSE)</f>
        <v>4.2</v>
      </c>
    </row>
    <row r="8" spans="1:7" ht="14.4" x14ac:dyDescent="0.3">
      <c r="A8" s="7" t="s">
        <v>7</v>
      </c>
      <c r="B8" s="11">
        <f>VLOOKUP(A8,Dataset!A:G,7,FALSE)</f>
        <v>3.6</v>
      </c>
      <c r="C8" s="11">
        <f>VLOOKUP(A8,Dataset!A:M,13,FALSE)</f>
        <v>7.6</v>
      </c>
      <c r="D8" s="11">
        <f>VLOOKUP(A8,Dataset!A:R,18,FALSE)</f>
        <v>5.8</v>
      </c>
      <c r="E8" s="11">
        <f>VLOOKUP(A8,Dataset!A:T,20,FALSE)</f>
        <v>12.2</v>
      </c>
      <c r="F8" s="8">
        <f>VLOOKUP(A8,Dataset!A:V,22,FALSE)</f>
        <v>5.8</v>
      </c>
    </row>
    <row r="9" spans="1:7" ht="14.4" x14ac:dyDescent="0.3">
      <c r="A9" s="7" t="s">
        <v>8</v>
      </c>
      <c r="B9" s="11">
        <f>VLOOKUP(A9,Dataset!A:G,7,FALSE)</f>
        <v>4.9000000000000004</v>
      </c>
      <c r="C9" s="11">
        <f>VLOOKUP(A9,Dataset!A:M,13,FALSE)</f>
        <v>10</v>
      </c>
      <c r="D9" s="11">
        <f>VLOOKUP(A9,Dataset!A:R,18,FALSE)</f>
        <v>8.1</v>
      </c>
      <c r="E9" s="11">
        <f>VLOOKUP(A9,Dataset!A:T,20,FALSE)</f>
        <v>17</v>
      </c>
      <c r="F9" s="8">
        <f>VLOOKUP(A9,Dataset!A:V,22,FALSE)</f>
        <v>8.1</v>
      </c>
    </row>
    <row r="10" spans="1:7" ht="14.4" x14ac:dyDescent="0.3">
      <c r="A10" s="7" t="s">
        <v>11</v>
      </c>
      <c r="B10" s="11">
        <f>VLOOKUP(A10,Dataset!A:G,7,FALSE)</f>
        <v>9.4</v>
      </c>
      <c r="C10" s="11">
        <f>VLOOKUP(A10,Dataset!A:M,13,FALSE)</f>
        <v>19.2</v>
      </c>
      <c r="D10" s="11">
        <f>VLOOKUP(A10,Dataset!A:R,18,FALSE)</f>
        <v>16.100000000000001</v>
      </c>
      <c r="E10" s="11">
        <f>VLOOKUP(A10,Dataset!A:T,20,FALSE)</f>
        <v>32.799999999999997</v>
      </c>
      <c r="F10" s="8">
        <f>VLOOKUP(A10,Dataset!A:V,22,FALSE)</f>
        <v>16.100000000000001</v>
      </c>
    </row>
    <row r="11" spans="1:7" ht="14.4" x14ac:dyDescent="0.3">
      <c r="A11" s="7" t="s">
        <v>12</v>
      </c>
      <c r="B11" s="11">
        <f>VLOOKUP(A11,Dataset!A:G,7,FALSE)</f>
        <v>11.6</v>
      </c>
      <c r="C11" s="11">
        <f>VLOOKUP(A11,Dataset!A:M,13,FALSE)</f>
        <v>23.6</v>
      </c>
      <c r="D11" s="11">
        <f>VLOOKUP(A11,Dataset!A:R,18,FALSE)</f>
        <v>21.3</v>
      </c>
      <c r="E11" s="11">
        <f>VLOOKUP(A11,Dataset!A:T,20,FALSE)</f>
        <v>43</v>
      </c>
      <c r="F11" s="8">
        <f>VLOOKUP(A11,Dataset!A:V,22,FALSE)</f>
        <v>21.3</v>
      </c>
    </row>
    <row r="12" spans="1:7" ht="14.4" x14ac:dyDescent="0.3">
      <c r="A12" s="7" t="s">
        <v>14</v>
      </c>
      <c r="B12" s="11">
        <f>VLOOKUP(A12,Dataset!A:G,7,FALSE)</f>
        <v>18.399999999999999</v>
      </c>
      <c r="C12" s="11">
        <f>VLOOKUP(A12,Dataset!A:M,13,FALSE)</f>
        <v>37.200000000000003</v>
      </c>
      <c r="D12" s="11">
        <f>VLOOKUP(A12,Dataset!A:R,18,FALSE)</f>
        <v>33.799999999999997</v>
      </c>
      <c r="E12" s="11">
        <f>VLOOKUP(A12,Dataset!A:T,20,FALSE)</f>
        <v>67.900000000000006</v>
      </c>
      <c r="F12" s="8">
        <f>VLOOKUP(A12,Dataset!A:V,22,FALSE)</f>
        <v>33.799999999999997</v>
      </c>
    </row>
    <row r="13" spans="1:7" ht="14.4" x14ac:dyDescent="0.3">
      <c r="A13" s="7" t="s">
        <v>15</v>
      </c>
      <c r="B13" s="11">
        <f>VLOOKUP(A13,Dataset!A:G,7,FALSE)</f>
        <v>0</v>
      </c>
      <c r="C13" s="11">
        <f>VLOOKUP(A13,Dataset!A:M,13,FALSE)</f>
        <v>0</v>
      </c>
      <c r="D13" s="11">
        <f>VLOOKUP(A13,Dataset!A:R,18,FALSE)</f>
        <v>0</v>
      </c>
      <c r="E13" s="11">
        <f>VLOOKUP(A13,Dataset!A:T,20,FALSE)</f>
        <v>0</v>
      </c>
      <c r="F13" s="8">
        <f>VLOOKUP(A13,Dataset!A:V,22,FALSE)</f>
        <v>0</v>
      </c>
    </row>
    <row r="14" spans="1:7" ht="14.4" x14ac:dyDescent="0.3">
      <c r="A14" s="7" t="s">
        <v>16</v>
      </c>
      <c r="B14" s="11">
        <f>VLOOKUP(A14,Dataset!A:G,7,FALSE)</f>
        <v>21.9</v>
      </c>
      <c r="C14" s="11">
        <f>VLOOKUP(A14,Dataset!A:M,13,FALSE)</f>
        <v>42.3</v>
      </c>
      <c r="D14" s="11">
        <f>VLOOKUP(A14,Dataset!A:R,18,FALSE)</f>
        <v>40.1</v>
      </c>
      <c r="E14" s="11">
        <f>VLOOKUP(A14,Dataset!A:T,20,FALSE)</f>
        <v>76.599999999999994</v>
      </c>
      <c r="F14" s="8">
        <f>VLOOKUP(A14,Dataset!A:V,22,FALSE)</f>
        <v>40.1</v>
      </c>
    </row>
    <row r="15" spans="1:7" ht="14.4" x14ac:dyDescent="0.3">
      <c r="A15" s="7" t="s">
        <v>18</v>
      </c>
      <c r="B15" s="11">
        <f>VLOOKUP(A15,Dataset!A:G,7,FALSE)</f>
        <v>26.8</v>
      </c>
      <c r="C15" s="11">
        <f>VLOOKUP(A15,Dataset!A:M,13,FALSE)</f>
        <v>54.6</v>
      </c>
      <c r="D15" s="11">
        <f>VLOOKUP(A15,Dataset!A:R,18,FALSE)</f>
        <v>47.9</v>
      </c>
      <c r="E15" s="11">
        <f>VLOOKUP(A15,Dataset!A:T,20,FALSE)</f>
        <v>96.8</v>
      </c>
      <c r="F15" s="8">
        <f>VLOOKUP(A15,Dataset!A:V,22,FALSE)</f>
        <v>47.9</v>
      </c>
    </row>
    <row r="16" spans="1:7" ht="14.4" x14ac:dyDescent="0.3">
      <c r="A16" s="7" t="s">
        <v>20</v>
      </c>
      <c r="B16" s="11">
        <f>VLOOKUP(A16,Dataset!A:G,7,FALSE)</f>
        <v>28.5</v>
      </c>
      <c r="C16" s="11">
        <f>VLOOKUP(A16,Dataset!A:M,13,FALSE)</f>
        <v>58.3</v>
      </c>
      <c r="D16" s="11">
        <f>VLOOKUP(A16,Dataset!A:R,18,FALSE)</f>
        <v>52.3</v>
      </c>
      <c r="E16" s="11">
        <f>VLOOKUP(A16,Dataset!A:T,20,FALSE)</f>
        <v>106.1</v>
      </c>
      <c r="F16" s="8">
        <f>VLOOKUP(A16,Dataset!A:V,22,FALSE)</f>
        <v>52.3</v>
      </c>
    </row>
    <row r="17" spans="1:6" ht="14.4" x14ac:dyDescent="0.3">
      <c r="A17" s="7" t="s">
        <v>22</v>
      </c>
      <c r="B17" s="11">
        <f>VLOOKUP(A17,Dataset!A:G,7,FALSE)</f>
        <v>30.7</v>
      </c>
      <c r="C17" s="11">
        <f>VLOOKUP(A17,Dataset!A:M,13,FALSE)</f>
        <v>62.5</v>
      </c>
      <c r="D17" s="11">
        <f>VLOOKUP(A17,Dataset!A:R,18,FALSE)</f>
        <v>57</v>
      </c>
      <c r="E17" s="11">
        <f>VLOOKUP(A17,Dataset!A:T,20,FALSE)</f>
        <v>115.1</v>
      </c>
      <c r="F17" s="8">
        <f>VLOOKUP(A17,Dataset!A:V,22,FALSE)</f>
        <v>57</v>
      </c>
    </row>
    <row r="18" spans="1:6" ht="14.4" x14ac:dyDescent="0.3">
      <c r="A18" s="7" t="s">
        <v>23</v>
      </c>
      <c r="B18" s="11">
        <f>VLOOKUP(A18,Dataset!A:G,7,FALSE)</f>
        <v>33.799999999999997</v>
      </c>
      <c r="C18" s="11">
        <f>VLOOKUP(A18,Dataset!A:M,13,FALSE)</f>
        <v>67.900000000000006</v>
      </c>
      <c r="D18" s="11">
        <f>VLOOKUP(A18,Dataset!A:R,18,FALSE)</f>
        <v>61.4</v>
      </c>
      <c r="E18" s="11">
        <f>VLOOKUP(A18,Dataset!A:T,20,FALSE)</f>
        <v>124.4</v>
      </c>
      <c r="F18" s="8">
        <f>VLOOKUP(A18,Dataset!A:V,22,FALSE)</f>
        <v>61.4</v>
      </c>
    </row>
    <row r="19" spans="1:6" ht="14.4" x14ac:dyDescent="0.3">
      <c r="A19" s="7" t="s">
        <v>24</v>
      </c>
      <c r="B19" s="11">
        <f>VLOOKUP(A19,Dataset!A:G,7,FALSE)</f>
        <v>34.700000000000003</v>
      </c>
      <c r="C19" s="11">
        <f>VLOOKUP(A19,Dataset!A:M,13,FALSE)</f>
        <v>70.8</v>
      </c>
      <c r="D19" s="11">
        <f>VLOOKUP(A19,Dataset!A:R,18,FALSE)</f>
        <v>63.6</v>
      </c>
      <c r="E19" s="11">
        <f>VLOOKUP(A19,Dataset!A:T,20,FALSE)</f>
        <v>128.6</v>
      </c>
      <c r="F19" s="8">
        <f>VLOOKUP(A19,Dataset!A:V,22,FALSE)</f>
        <v>63.6</v>
      </c>
    </row>
    <row r="20" spans="1:6" ht="14.4" x14ac:dyDescent="0.3">
      <c r="A20" s="7" t="s">
        <v>28</v>
      </c>
      <c r="B20" s="11">
        <f>VLOOKUP(A20,Dataset!A:G,7,FALSE)</f>
        <v>0</v>
      </c>
      <c r="C20" s="11">
        <f>VLOOKUP(A20,Dataset!A:M,13,FALSE)</f>
        <v>0</v>
      </c>
      <c r="D20" s="11">
        <f>VLOOKUP(A20,Dataset!A:R,18,FALSE)</f>
        <v>0</v>
      </c>
      <c r="E20" s="11">
        <f>VLOOKUP(A20,Dataset!A:T,20,FALSE)</f>
        <v>0</v>
      </c>
      <c r="F20" s="8">
        <f>VLOOKUP(A20,Dataset!A:V,22,FALSE)</f>
        <v>0</v>
      </c>
    </row>
    <row r="21" spans="1:6" ht="14.4" x14ac:dyDescent="0.3">
      <c r="A21" s="7" t="s">
        <v>56</v>
      </c>
      <c r="B21" s="11">
        <f>VLOOKUP(A21,Dataset!A:G,7,FALSE)</f>
        <v>41.3</v>
      </c>
      <c r="C21" s="11">
        <f>VLOOKUP(A21,Dataset!A:M,13,FALSE)</f>
        <v>83.5</v>
      </c>
      <c r="D21" s="11">
        <f>VLOOKUP(A21,Dataset!A:R,18,FALSE)</f>
        <v>75</v>
      </c>
      <c r="E21" s="11">
        <f>VLOOKUP(A21,Dataset!A:T,20,FALSE)</f>
        <v>151.5</v>
      </c>
      <c r="F21" s="8">
        <f>VLOOKUP(A21,Dataset!A:V,22,FALSE)</f>
        <v>75</v>
      </c>
    </row>
    <row r="22" spans="1:6" ht="14.4" x14ac:dyDescent="0.3">
      <c r="A22" s="7" t="s">
        <v>57</v>
      </c>
      <c r="B22" s="11">
        <f>VLOOKUP(A22,Dataset!A:G,7,FALSE)</f>
        <v>-1</v>
      </c>
      <c r="C22" s="11">
        <f>VLOOKUP(A22,Dataset!A:M,13,FALSE)</f>
        <v>-1</v>
      </c>
      <c r="D22" s="11">
        <f>VLOOKUP(A22,Dataset!A:R,18,FALSE)</f>
        <v>-1</v>
      </c>
      <c r="E22" s="11">
        <f>VLOOKUP(A22,Dataset!A:T,20,FALSE)</f>
        <v>-1</v>
      </c>
      <c r="F22" s="8">
        <f>VLOOKUP(A22,Dataset!A:V,22,FALSE)</f>
        <v>-1</v>
      </c>
    </row>
    <row r="23" spans="1:6" ht="14.4" x14ac:dyDescent="0.3">
      <c r="A23" s="7" t="s">
        <v>31</v>
      </c>
      <c r="B23" s="11">
        <f>VLOOKUP(A23,Dataset!A:G,7,FALSE)</f>
        <v>45</v>
      </c>
      <c r="C23" s="11">
        <f>VLOOKUP(A23,Dataset!A:M,13,FALSE)</f>
        <v>90.9</v>
      </c>
      <c r="D23" s="11">
        <f>VLOOKUP(A23,Dataset!A:R,18,FALSE)</f>
        <v>79.400000000000006</v>
      </c>
      <c r="E23" s="11">
        <f>VLOOKUP(A23,Dataset!A:T,20,FALSE)</f>
        <v>160.9</v>
      </c>
      <c r="F23" s="8">
        <f>VLOOKUP(A23,Dataset!A:V,22,FALSE)</f>
        <v>79.400000000000006</v>
      </c>
    </row>
    <row r="24" spans="1:6" ht="14.4" x14ac:dyDescent="0.3">
      <c r="A24" s="7" t="s">
        <v>32</v>
      </c>
      <c r="B24" s="11">
        <f>VLOOKUP(A24,Dataset!A:G,7,FALSE)</f>
        <v>-1</v>
      </c>
      <c r="C24" s="11">
        <f>VLOOKUP(A24,Dataset!A:M,13,FALSE)</f>
        <v>-1</v>
      </c>
      <c r="D24" s="11">
        <f>VLOOKUP(A24,Dataset!A:R,18,FALSE)</f>
        <v>-1</v>
      </c>
      <c r="E24" s="11">
        <f>VLOOKUP(A24,Dataset!A:T,20,FALSE)</f>
        <v>-1</v>
      </c>
      <c r="F24" s="8">
        <f>VLOOKUP(A24,Dataset!A:V,22,FALSE)</f>
        <v>-1</v>
      </c>
    </row>
    <row r="25" spans="1:6" ht="14.4" x14ac:dyDescent="0.3">
      <c r="A25" s="7" t="s">
        <v>34</v>
      </c>
      <c r="B25" s="11">
        <f>VLOOKUP(A25,Dataset!A:G,7,FALSE)</f>
        <v>43.3</v>
      </c>
      <c r="C25" s="11">
        <f>VLOOKUP(A25,Dataset!A:M,13,FALSE)</f>
        <v>87.6</v>
      </c>
      <c r="D25" s="11">
        <f>VLOOKUP(A25,Dataset!A:R,18,FALSE)</f>
        <v>79.400000000000006</v>
      </c>
      <c r="E25" s="11">
        <f>VLOOKUP(A25,Dataset!A:T,20,FALSE)</f>
        <v>160.9</v>
      </c>
      <c r="F25" s="8">
        <f>VLOOKUP(A25,Dataset!A:V,22,FALSE)</f>
        <v>79.400000000000006</v>
      </c>
    </row>
    <row r="26" spans="1:6" ht="14.4" x14ac:dyDescent="0.3">
      <c r="A26" s="7" t="s">
        <v>37</v>
      </c>
      <c r="B26" s="11">
        <f>VLOOKUP(A26,Dataset!A:G,7,FALSE)</f>
        <v>49.1</v>
      </c>
      <c r="C26" s="11">
        <f>VLOOKUP(A26,Dataset!A:M,13,FALSE)</f>
        <v>99.5</v>
      </c>
      <c r="D26" s="11">
        <f>VLOOKUP(A26,Dataset!A:R,18,FALSE)</f>
        <v>90.9</v>
      </c>
      <c r="E26" s="11">
        <f>VLOOKUP(A26,Dataset!A:T,20,FALSE)</f>
        <v>183.5</v>
      </c>
      <c r="F26" s="8">
        <f>VLOOKUP(A26,Dataset!A:V,22,FALSE)</f>
        <v>90.9</v>
      </c>
    </row>
    <row r="27" spans="1:6" ht="14.4" x14ac:dyDescent="0.3">
      <c r="A27" s="7" t="s">
        <v>39</v>
      </c>
      <c r="B27" s="11">
        <f>VLOOKUP(A27,Dataset!A:G,7,FALSE)</f>
        <v>51.8</v>
      </c>
      <c r="C27" s="11">
        <f>VLOOKUP(A27,Dataset!A:M,13,FALSE)</f>
        <v>104.5</v>
      </c>
      <c r="D27" s="11">
        <f>VLOOKUP(A27,Dataset!A:R,18,FALSE)</f>
        <v>93.1</v>
      </c>
      <c r="E27" s="11">
        <f>VLOOKUP(A27,Dataset!A:T,20,FALSE)</f>
        <v>188.1</v>
      </c>
      <c r="F27" s="8">
        <f>VLOOKUP(A27,Dataset!A:V,22,FALSE)</f>
        <v>93.1</v>
      </c>
    </row>
    <row r="28" spans="1:6" ht="14.4" x14ac:dyDescent="0.3">
      <c r="A28" s="18" t="s">
        <v>81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82</v>
      </c>
      <c r="B29" s="30">
        <f>MAX(B6:B27)</f>
        <v>51.8</v>
      </c>
      <c r="C29" s="30">
        <f t="shared" ref="C29:F29" si="1">MAX(C6:C27)</f>
        <v>104.5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83</v>
      </c>
      <c r="B30" s="30">
        <f>AVERAGE(B6:B27)</f>
        <v>20.827272727272728</v>
      </c>
      <c r="C30" s="30">
        <f t="shared" ref="C30:F30" si="2">AVERAGE(C6:C27)</f>
        <v>42.209090909090904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E15" sqref="E1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55</v>
      </c>
      <c r="B1" s="39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1" t="s">
        <v>52</v>
      </c>
      <c r="B5" s="38" t="s">
        <v>219</v>
      </c>
    </row>
    <row r="6" spans="1:10" ht="18" x14ac:dyDescent="0.35">
      <c r="A6" s="41" t="s">
        <v>152</v>
      </c>
      <c r="B6" s="38"/>
    </row>
    <row r="7" spans="1:10" ht="18" x14ac:dyDescent="0.35">
      <c r="A7" s="41"/>
      <c r="B7" s="38"/>
    </row>
    <row r="9" spans="1:10" ht="23.4" x14ac:dyDescent="0.45">
      <c r="A9" s="17" t="s">
        <v>164</v>
      </c>
      <c r="I9" s="2"/>
      <c r="J9" s="2"/>
    </row>
    <row r="10" spans="1:10" x14ac:dyDescent="0.3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161</v>
      </c>
    </row>
    <row r="15" spans="1:10" x14ac:dyDescent="0.3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3">
      <c r="A16" s="7" t="s">
        <v>120</v>
      </c>
      <c r="B16" s="47" t="s">
        <v>178</v>
      </c>
      <c r="C16" s="48" t="s">
        <v>5</v>
      </c>
      <c r="D16" s="47" t="s">
        <v>179</v>
      </c>
      <c r="E16" s="48" t="s">
        <v>6</v>
      </c>
      <c r="F16" s="47" t="s">
        <v>180</v>
      </c>
    </row>
    <row r="17" spans="1:6" x14ac:dyDescent="0.3">
      <c r="A17" s="7" t="s">
        <v>121</v>
      </c>
      <c r="B17" s="47" t="s">
        <v>181</v>
      </c>
      <c r="C17" s="48" t="s">
        <v>5</v>
      </c>
      <c r="D17" s="47" t="s">
        <v>179</v>
      </c>
      <c r="E17" s="48" t="s">
        <v>6</v>
      </c>
      <c r="F17" s="47" t="s">
        <v>180</v>
      </c>
    </row>
    <row r="18" spans="1:6" x14ac:dyDescent="0.3">
      <c r="A18" s="7" t="s">
        <v>122</v>
      </c>
      <c r="B18" s="47" t="s">
        <v>182</v>
      </c>
      <c r="C18" s="48" t="s">
        <v>5</v>
      </c>
      <c r="D18" s="47" t="s">
        <v>179</v>
      </c>
      <c r="E18" s="48" t="s">
        <v>6</v>
      </c>
      <c r="F18" s="47" t="s">
        <v>180</v>
      </c>
    </row>
    <row r="19" spans="1:6" x14ac:dyDescent="0.3">
      <c r="A19" s="7" t="s">
        <v>123</v>
      </c>
      <c r="B19" s="47" t="s">
        <v>183</v>
      </c>
      <c r="C19" s="48" t="s">
        <v>5</v>
      </c>
      <c r="D19" s="47" t="s">
        <v>179</v>
      </c>
      <c r="E19" s="48" t="s">
        <v>6</v>
      </c>
      <c r="F19" s="47" t="s">
        <v>180</v>
      </c>
    </row>
    <row r="20" spans="1:6" x14ac:dyDescent="0.3">
      <c r="A20" s="7" t="s">
        <v>124</v>
      </c>
      <c r="B20" s="47" t="s">
        <v>184</v>
      </c>
      <c r="C20" s="48" t="s">
        <v>5</v>
      </c>
      <c r="D20" s="47" t="s">
        <v>179</v>
      </c>
      <c r="E20" s="48" t="s">
        <v>6</v>
      </c>
      <c r="F20" s="47" t="s">
        <v>180</v>
      </c>
    </row>
    <row r="21" spans="1:6" x14ac:dyDescent="0.3">
      <c r="A21" s="7" t="s">
        <v>125</v>
      </c>
      <c r="B21" s="47" t="s">
        <v>185</v>
      </c>
      <c r="C21" s="48" t="s">
        <v>5</v>
      </c>
      <c r="D21" s="47" t="s">
        <v>179</v>
      </c>
      <c r="E21" s="48" t="s">
        <v>6</v>
      </c>
      <c r="F21" s="47" t="s">
        <v>180</v>
      </c>
    </row>
    <row r="22" spans="1:6" x14ac:dyDescent="0.3">
      <c r="A22" s="7" t="s">
        <v>126</v>
      </c>
      <c r="B22" s="47" t="s">
        <v>186</v>
      </c>
      <c r="C22" s="48" t="s">
        <v>5</v>
      </c>
      <c r="D22" s="47" t="s">
        <v>179</v>
      </c>
      <c r="E22" s="48" t="s">
        <v>6</v>
      </c>
      <c r="F22" s="47" t="s">
        <v>180</v>
      </c>
    </row>
    <row r="23" spans="1:6" x14ac:dyDescent="0.3">
      <c r="A23" s="7" t="s">
        <v>127</v>
      </c>
      <c r="B23" s="47" t="s">
        <v>187</v>
      </c>
      <c r="C23" s="48" t="s">
        <v>5</v>
      </c>
      <c r="D23" s="47" t="s">
        <v>179</v>
      </c>
      <c r="E23" s="48" t="s">
        <v>6</v>
      </c>
      <c r="F23" s="47" t="s">
        <v>180</v>
      </c>
    </row>
    <row r="24" spans="1:6" x14ac:dyDescent="0.3">
      <c r="A24" s="7" t="s">
        <v>128</v>
      </c>
      <c r="B24" s="47" t="s">
        <v>188</v>
      </c>
      <c r="C24" s="48" t="s">
        <v>5</v>
      </c>
      <c r="D24" s="47" t="s">
        <v>179</v>
      </c>
      <c r="E24" s="48" t="s">
        <v>6</v>
      </c>
      <c r="F24" s="47" t="s">
        <v>180</v>
      </c>
    </row>
    <row r="25" spans="1:6" x14ac:dyDescent="0.3">
      <c r="A25" s="7" t="s">
        <v>129</v>
      </c>
      <c r="B25" s="47" t="s">
        <v>189</v>
      </c>
      <c r="C25" s="48" t="s">
        <v>5</v>
      </c>
      <c r="D25" s="47" t="s">
        <v>179</v>
      </c>
      <c r="E25" s="48" t="s">
        <v>6</v>
      </c>
      <c r="F25" s="47" t="s">
        <v>180</v>
      </c>
    </row>
    <row r="26" spans="1:6" x14ac:dyDescent="0.3">
      <c r="A26" s="7" t="s">
        <v>130</v>
      </c>
      <c r="B26" s="47" t="s">
        <v>190</v>
      </c>
      <c r="C26" s="48" t="s">
        <v>5</v>
      </c>
      <c r="D26" s="47" t="s">
        <v>179</v>
      </c>
      <c r="E26" s="48" t="s">
        <v>6</v>
      </c>
      <c r="F26" s="47" t="s">
        <v>180</v>
      </c>
    </row>
    <row r="27" spans="1:6" x14ac:dyDescent="0.3">
      <c r="A27" s="7" t="s">
        <v>131</v>
      </c>
      <c r="B27" s="47" t="s">
        <v>191</v>
      </c>
      <c r="C27" s="48" t="s">
        <v>5</v>
      </c>
      <c r="D27" s="47" t="s">
        <v>179</v>
      </c>
      <c r="E27" s="48" t="s">
        <v>6</v>
      </c>
      <c r="F27" s="47" t="s">
        <v>180</v>
      </c>
    </row>
    <row r="28" spans="1:6" x14ac:dyDescent="0.3">
      <c r="A28" s="7" t="s">
        <v>132</v>
      </c>
      <c r="B28" s="47" t="s">
        <v>192</v>
      </c>
      <c r="C28" s="48" t="s">
        <v>5</v>
      </c>
      <c r="D28" s="47" t="s">
        <v>179</v>
      </c>
      <c r="E28" s="48" t="s">
        <v>6</v>
      </c>
      <c r="F28" s="47" t="s">
        <v>180</v>
      </c>
    </row>
    <row r="29" spans="1:6" x14ac:dyDescent="0.3">
      <c r="A29" s="7" t="s">
        <v>133</v>
      </c>
      <c r="B29" s="47" t="s">
        <v>193</v>
      </c>
      <c r="C29" s="48" t="s">
        <v>5</v>
      </c>
      <c r="D29" s="47" t="s">
        <v>179</v>
      </c>
      <c r="E29" s="48" t="s">
        <v>6</v>
      </c>
      <c r="F29" s="47" t="s">
        <v>180</v>
      </c>
    </row>
    <row r="30" spans="1:6" x14ac:dyDescent="0.3">
      <c r="A30" s="7" t="s">
        <v>134</v>
      </c>
      <c r="B30" s="47" t="s">
        <v>194</v>
      </c>
      <c r="C30" s="48" t="s">
        <v>5</v>
      </c>
      <c r="D30" s="47" t="s">
        <v>179</v>
      </c>
      <c r="E30" s="48" t="s">
        <v>6</v>
      </c>
      <c r="F30" s="47" t="s">
        <v>180</v>
      </c>
    </row>
    <row r="31" spans="1:6" x14ac:dyDescent="0.3">
      <c r="A31" s="7" t="s">
        <v>135</v>
      </c>
      <c r="B31" s="47" t="s">
        <v>195</v>
      </c>
      <c r="C31" s="48" t="s">
        <v>5</v>
      </c>
      <c r="D31" s="47" t="s">
        <v>179</v>
      </c>
      <c r="E31" s="48" t="s">
        <v>6</v>
      </c>
      <c r="F31" s="47" t="s">
        <v>180</v>
      </c>
    </row>
    <row r="32" spans="1:6" x14ac:dyDescent="0.3">
      <c r="A32" s="7" t="s">
        <v>136</v>
      </c>
      <c r="B32" s="47" t="s">
        <v>196</v>
      </c>
      <c r="C32" s="48" t="s">
        <v>5</v>
      </c>
      <c r="D32" s="47" t="s">
        <v>179</v>
      </c>
      <c r="E32" s="48" t="s">
        <v>6</v>
      </c>
      <c r="F32" s="47" t="s">
        <v>180</v>
      </c>
    </row>
    <row r="33" spans="1:6" x14ac:dyDescent="0.3">
      <c r="A33" s="7" t="s">
        <v>137</v>
      </c>
      <c r="B33" s="47" t="s">
        <v>197</v>
      </c>
      <c r="C33" s="48" t="s">
        <v>5</v>
      </c>
      <c r="D33" s="47" t="s">
        <v>179</v>
      </c>
      <c r="E33" s="48" t="s">
        <v>6</v>
      </c>
      <c r="F33" s="47" t="s">
        <v>180</v>
      </c>
    </row>
    <row r="34" spans="1:6" x14ac:dyDescent="0.3">
      <c r="A34" s="7" t="s">
        <v>138</v>
      </c>
      <c r="B34" s="47" t="s">
        <v>198</v>
      </c>
      <c r="C34" s="48" t="s">
        <v>5</v>
      </c>
      <c r="D34" s="47" t="s">
        <v>179</v>
      </c>
      <c r="E34" s="48" t="s">
        <v>6</v>
      </c>
      <c r="F34" s="47" t="s">
        <v>180</v>
      </c>
    </row>
    <row r="35" spans="1:6" x14ac:dyDescent="0.3">
      <c r="A35" s="7" t="s">
        <v>139</v>
      </c>
      <c r="B35" s="47" t="s">
        <v>199</v>
      </c>
      <c r="C35" s="48" t="s">
        <v>5</v>
      </c>
      <c r="D35" s="47" t="s">
        <v>179</v>
      </c>
      <c r="E35" s="48" t="s">
        <v>6</v>
      </c>
      <c r="F35" s="47" t="s">
        <v>180</v>
      </c>
    </row>
    <row r="36" spans="1:6" x14ac:dyDescent="0.3">
      <c r="A36" s="7" t="s">
        <v>140</v>
      </c>
      <c r="B36" s="47" t="s">
        <v>200</v>
      </c>
      <c r="C36" s="48" t="s">
        <v>5</v>
      </c>
      <c r="D36" s="47" t="s">
        <v>179</v>
      </c>
      <c r="E36" s="48" t="s">
        <v>6</v>
      </c>
      <c r="F36" s="47" t="s">
        <v>180</v>
      </c>
    </row>
    <row r="37" spans="1:6" x14ac:dyDescent="0.3">
      <c r="A37" s="7" t="s">
        <v>141</v>
      </c>
      <c r="B37" s="47" t="s">
        <v>201</v>
      </c>
      <c r="C37" s="48" t="s">
        <v>5</v>
      </c>
      <c r="D37" s="47" t="s">
        <v>179</v>
      </c>
      <c r="E37" s="48" t="s">
        <v>6</v>
      </c>
      <c r="F37" s="47" t="s">
        <v>180</v>
      </c>
    </row>
    <row r="38" spans="1:6" x14ac:dyDescent="0.3">
      <c r="A38" s="7" t="s">
        <v>142</v>
      </c>
      <c r="B38" s="47" t="s">
        <v>202</v>
      </c>
      <c r="C38" s="48" t="s">
        <v>5</v>
      </c>
      <c r="D38" s="47" t="s">
        <v>179</v>
      </c>
      <c r="E38" s="48" t="s">
        <v>6</v>
      </c>
      <c r="F38" s="47" t="s">
        <v>180</v>
      </c>
    </row>
    <row r="39" spans="1:6" x14ac:dyDescent="0.3">
      <c r="A39" s="7" t="s">
        <v>143</v>
      </c>
      <c r="B39" s="47" t="s">
        <v>203</v>
      </c>
      <c r="C39" s="48" t="s">
        <v>5</v>
      </c>
      <c r="D39" s="47" t="s">
        <v>179</v>
      </c>
      <c r="E39" s="48" t="s">
        <v>6</v>
      </c>
      <c r="F39" s="47" t="s">
        <v>180</v>
      </c>
    </row>
    <row r="40" spans="1:6" x14ac:dyDescent="0.3">
      <c r="A40" s="7" t="s">
        <v>144</v>
      </c>
      <c r="B40" s="47" t="s">
        <v>204</v>
      </c>
      <c r="C40" s="48" t="s">
        <v>5</v>
      </c>
      <c r="D40" s="47" t="s">
        <v>179</v>
      </c>
      <c r="E40" s="48" t="s">
        <v>6</v>
      </c>
      <c r="F40" s="47" t="s">
        <v>180</v>
      </c>
    </row>
    <row r="41" spans="1:6" x14ac:dyDescent="0.3">
      <c r="A41" s="7" t="s">
        <v>145</v>
      </c>
      <c r="B41" s="47" t="s">
        <v>205</v>
      </c>
      <c r="C41" s="48" t="s">
        <v>5</v>
      </c>
      <c r="D41" s="47" t="s">
        <v>179</v>
      </c>
      <c r="E41" s="48" t="s">
        <v>6</v>
      </c>
      <c r="F41" s="47" t="s">
        <v>180</v>
      </c>
    </row>
    <row r="42" spans="1:6" x14ac:dyDescent="0.3">
      <c r="A42" s="7" t="s">
        <v>146</v>
      </c>
      <c r="B42" s="47" t="s">
        <v>206</v>
      </c>
      <c r="C42" s="48" t="s">
        <v>5</v>
      </c>
      <c r="D42" s="47" t="s">
        <v>179</v>
      </c>
      <c r="E42" s="48" t="s">
        <v>6</v>
      </c>
      <c r="F42" s="47" t="s">
        <v>180</v>
      </c>
    </row>
    <row r="43" spans="1:6" x14ac:dyDescent="0.3">
      <c r="A43" s="7" t="s">
        <v>147</v>
      </c>
      <c r="B43" s="47" t="s">
        <v>207</v>
      </c>
      <c r="C43" s="48" t="s">
        <v>5</v>
      </c>
      <c r="D43" s="47" t="s">
        <v>179</v>
      </c>
      <c r="E43" s="48" t="s">
        <v>6</v>
      </c>
      <c r="F43" s="47" t="s">
        <v>180</v>
      </c>
    </row>
    <row r="44" spans="1:6" x14ac:dyDescent="0.3">
      <c r="A44" s="7" t="s">
        <v>148</v>
      </c>
      <c r="B44" s="47" t="s">
        <v>208</v>
      </c>
      <c r="C44" s="48" t="s">
        <v>5</v>
      </c>
      <c r="D44" s="47" t="s">
        <v>179</v>
      </c>
      <c r="E44" s="48" t="s">
        <v>6</v>
      </c>
      <c r="F44" s="47" t="s">
        <v>180</v>
      </c>
    </row>
    <row r="45" spans="1:6" x14ac:dyDescent="0.3">
      <c r="A45" s="7" t="s">
        <v>149</v>
      </c>
      <c r="B45" s="47" t="s">
        <v>209</v>
      </c>
      <c r="C45" s="48" t="s">
        <v>5</v>
      </c>
      <c r="D45" s="47" t="s">
        <v>179</v>
      </c>
      <c r="E45" s="48" t="s">
        <v>6</v>
      </c>
      <c r="F45" s="47" t="s">
        <v>180</v>
      </c>
    </row>
    <row r="46" spans="1:6" x14ac:dyDescent="0.3">
      <c r="A46" s="7" t="s">
        <v>111</v>
      </c>
      <c r="B46" s="47" t="s">
        <v>210</v>
      </c>
      <c r="C46" s="48" t="s">
        <v>5</v>
      </c>
      <c r="D46" s="47" t="s">
        <v>179</v>
      </c>
      <c r="E46" s="48" t="s">
        <v>6</v>
      </c>
      <c r="F46" s="47" t="s">
        <v>180</v>
      </c>
    </row>
    <row r="47" spans="1:6" x14ac:dyDescent="0.3">
      <c r="A47" s="7" t="s">
        <v>112</v>
      </c>
      <c r="B47" s="47" t="s">
        <v>211</v>
      </c>
      <c r="C47" s="48" t="s">
        <v>5</v>
      </c>
      <c r="D47" s="47" t="s">
        <v>179</v>
      </c>
      <c r="E47" s="48" t="s">
        <v>6</v>
      </c>
      <c r="F47" s="47" t="s">
        <v>180</v>
      </c>
    </row>
    <row r="48" spans="1:6" x14ac:dyDescent="0.3">
      <c r="A48" s="7" t="s">
        <v>113</v>
      </c>
      <c r="B48" s="47" t="s">
        <v>212</v>
      </c>
      <c r="C48" s="48" t="s">
        <v>5</v>
      </c>
      <c r="D48" s="47" t="s">
        <v>179</v>
      </c>
      <c r="E48" s="48" t="s">
        <v>6</v>
      </c>
      <c r="F48" s="47" t="s">
        <v>180</v>
      </c>
    </row>
    <row r="49" spans="1:6" x14ac:dyDescent="0.3">
      <c r="A49" s="7" t="s">
        <v>114</v>
      </c>
      <c r="B49" s="47" t="s">
        <v>213</v>
      </c>
      <c r="C49" s="48" t="s">
        <v>5</v>
      </c>
      <c r="D49" s="47" t="s">
        <v>179</v>
      </c>
      <c r="E49" s="48" t="s">
        <v>6</v>
      </c>
      <c r="F49" s="47" t="s">
        <v>180</v>
      </c>
    </row>
    <row r="50" spans="1:6" x14ac:dyDescent="0.3">
      <c r="A50" s="7" t="s">
        <v>115</v>
      </c>
      <c r="B50" s="47" t="s">
        <v>214</v>
      </c>
      <c r="C50" s="48" t="s">
        <v>5</v>
      </c>
      <c r="D50" s="47" t="s">
        <v>179</v>
      </c>
      <c r="E50" s="48" t="s">
        <v>6</v>
      </c>
      <c r="F50" s="47" t="s">
        <v>180</v>
      </c>
    </row>
    <row r="51" spans="1:6" x14ac:dyDescent="0.3">
      <c r="A51" s="7" t="s">
        <v>116</v>
      </c>
      <c r="B51" s="47" t="s">
        <v>215</v>
      </c>
      <c r="C51" s="48" t="s">
        <v>5</v>
      </c>
      <c r="D51" s="47" t="s">
        <v>179</v>
      </c>
      <c r="E51" s="48" t="s">
        <v>6</v>
      </c>
      <c r="F51" s="47" t="s">
        <v>180</v>
      </c>
    </row>
    <row r="52" spans="1:6" x14ac:dyDescent="0.3">
      <c r="A52" s="7" t="s">
        <v>117</v>
      </c>
      <c r="B52" s="47" t="s">
        <v>216</v>
      </c>
      <c r="C52" s="48" t="s">
        <v>5</v>
      </c>
      <c r="D52" s="47" t="s">
        <v>179</v>
      </c>
      <c r="E52" s="48" t="s">
        <v>6</v>
      </c>
      <c r="F52" s="47" t="s">
        <v>180</v>
      </c>
    </row>
    <row r="53" spans="1:6" x14ac:dyDescent="0.3">
      <c r="A53" s="7" t="s">
        <v>118</v>
      </c>
      <c r="B53" s="47" t="s">
        <v>217</v>
      </c>
      <c r="C53" s="48" t="s">
        <v>5</v>
      </c>
      <c r="D53" s="47" t="s">
        <v>179</v>
      </c>
      <c r="E53" s="48" t="s">
        <v>6</v>
      </c>
      <c r="F53" s="47" t="s">
        <v>180</v>
      </c>
    </row>
    <row r="54" spans="1:6" x14ac:dyDescent="0.3">
      <c r="A54" s="9" t="s">
        <v>119</v>
      </c>
      <c r="B54" s="49" t="s">
        <v>218</v>
      </c>
      <c r="C54" s="50" t="s">
        <v>5</v>
      </c>
      <c r="D54" s="49" t="s">
        <v>179</v>
      </c>
      <c r="E54" s="50" t="s">
        <v>6</v>
      </c>
      <c r="F54" s="49" t="s">
        <v>180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84</v>
      </c>
      <c r="B1" s="39" t="s">
        <v>166</v>
      </c>
    </row>
    <row r="2" spans="1:3" ht="18" x14ac:dyDescent="0.35">
      <c r="B2" s="38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52</v>
      </c>
      <c r="B6" s="1" t="s">
        <v>220</v>
      </c>
    </row>
    <row r="7" spans="1:3" ht="172.8" x14ac:dyDescent="0.3">
      <c r="A7" s="3" t="s">
        <v>152</v>
      </c>
      <c r="B7" s="51" t="s">
        <v>223</v>
      </c>
    </row>
    <row r="10" spans="1:3" ht="23.4" x14ac:dyDescent="0.45">
      <c r="A10" s="17" t="s">
        <v>161</v>
      </c>
    </row>
    <row r="11" spans="1:3" ht="14.4" x14ac:dyDescent="0.3">
      <c r="A11" s="31" t="s">
        <v>85</v>
      </c>
      <c r="B11" s="16" t="s">
        <v>86</v>
      </c>
      <c r="C11" s="16" t="s">
        <v>87</v>
      </c>
    </row>
    <row r="12" spans="1:3" ht="14.4" x14ac:dyDescent="0.3">
      <c r="A12" s="31">
        <v>44927</v>
      </c>
      <c r="B12" s="16" t="s">
        <v>58</v>
      </c>
      <c r="C12" s="16">
        <v>200</v>
      </c>
    </row>
    <row r="13" spans="1:3" ht="14.4" x14ac:dyDescent="0.3">
      <c r="A13" s="31">
        <v>44928</v>
      </c>
      <c r="B13" s="16" t="s">
        <v>59</v>
      </c>
      <c r="C13" s="16" t="e">
        <v>#N/A</v>
      </c>
    </row>
    <row r="14" spans="1:3" ht="14.4" x14ac:dyDescent="0.3">
      <c r="A14" s="31">
        <v>44929</v>
      </c>
      <c r="B14" s="16" t="s">
        <v>60</v>
      </c>
      <c r="C14" s="16">
        <v>50</v>
      </c>
    </row>
    <row r="15" spans="1:3" ht="14.4" x14ac:dyDescent="0.3">
      <c r="A15" s="31">
        <v>44930</v>
      </c>
      <c r="B15" s="16" t="s">
        <v>61</v>
      </c>
      <c r="C15" s="16" t="e">
        <v>#N/A</v>
      </c>
    </row>
    <row r="16" spans="1:3" ht="14.4" x14ac:dyDescent="0.3">
      <c r="A16" s="31">
        <v>44931</v>
      </c>
      <c r="B16" s="16" t="s">
        <v>62</v>
      </c>
      <c r="C16" s="16">
        <v>10</v>
      </c>
    </row>
    <row r="17" spans="1:3" ht="14.4" x14ac:dyDescent="0.3">
      <c r="A17" s="31">
        <v>44932</v>
      </c>
      <c r="B17" s="16" t="s">
        <v>153</v>
      </c>
      <c r="C17" s="16">
        <v>150</v>
      </c>
    </row>
    <row r="18" spans="1:3" ht="14.4" x14ac:dyDescent="0.3">
      <c r="A18" s="31">
        <v>44933</v>
      </c>
      <c r="B18" s="16" t="s">
        <v>154</v>
      </c>
      <c r="C18" s="16">
        <v>80</v>
      </c>
    </row>
    <row r="19" spans="1:3" ht="14.4" x14ac:dyDescent="0.3">
      <c r="A19" s="31">
        <v>44934</v>
      </c>
      <c r="B19" s="16" t="s">
        <v>155</v>
      </c>
      <c r="C19" s="16" t="e">
        <v>#N/A</v>
      </c>
    </row>
    <row r="20" spans="1:3" ht="14.4" x14ac:dyDescent="0.3">
      <c r="A20" s="31">
        <v>44935</v>
      </c>
      <c r="B20" s="16" t="s">
        <v>156</v>
      </c>
      <c r="C20" s="16">
        <v>30</v>
      </c>
    </row>
    <row r="21" spans="1:3" ht="14.4" x14ac:dyDescent="0.3">
      <c r="A21" s="31">
        <v>44936</v>
      </c>
      <c r="B21" s="16" t="s">
        <v>157</v>
      </c>
      <c r="C21" s="16" t="e">
        <v>#N/A</v>
      </c>
    </row>
    <row r="22" spans="1:3" ht="14.4" x14ac:dyDescent="0.3">
      <c r="B22" s="16" t="s">
        <v>158</v>
      </c>
      <c r="C22" s="24">
        <f>SUM(_xlfn.AGGREGATE(9,6,C12:C21),20*COUNTIF(C12:C21,"#N/A"))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abSelected="1" topLeftCell="A4" zoomScaleNormal="100" workbookViewId="0">
      <selection activeCell="C5" sqref="C5"/>
    </sheetView>
  </sheetViews>
  <sheetFormatPr defaultColWidth="11" defaultRowHeight="13.8" x14ac:dyDescent="0.3"/>
  <cols>
    <col min="1" max="1" width="28.21875" style="2" bestFit="1" customWidth="1"/>
    <col min="2" max="2" width="11" style="2"/>
    <col min="3" max="3" width="24.6640625" style="2" customWidth="1"/>
    <col min="4" max="16384" width="11" style="2"/>
  </cols>
  <sheetData>
    <row r="1" spans="1:15" ht="21" x14ac:dyDescent="0.4">
      <c r="A1" s="40" t="s">
        <v>97</v>
      </c>
      <c r="B1" s="39" t="s">
        <v>174</v>
      </c>
    </row>
    <row r="3" spans="1:15" ht="14.4" x14ac:dyDescent="0.3">
      <c r="B3" s="1" t="s">
        <v>150</v>
      </c>
    </row>
    <row r="4" spans="1:15" ht="262.8" x14ac:dyDescent="0.35">
      <c r="A4" s="41" t="s">
        <v>52</v>
      </c>
      <c r="B4" s="1"/>
      <c r="C4" s="53" t="s">
        <v>222</v>
      </c>
    </row>
    <row r="5" spans="1:15" ht="18" x14ac:dyDescent="0.35">
      <c r="A5" s="41" t="s">
        <v>152</v>
      </c>
      <c r="B5" s="1"/>
    </row>
    <row r="6" spans="1:15" ht="14.4" x14ac:dyDescent="0.3">
      <c r="A6" s="3"/>
      <c r="B6" s="1"/>
    </row>
    <row r="8" spans="1:15" ht="23.4" x14ac:dyDescent="0.45">
      <c r="A8" s="17" t="s">
        <v>161</v>
      </c>
      <c r="M8" s="17" t="s">
        <v>162</v>
      </c>
    </row>
    <row r="9" spans="1:15" ht="14.4" x14ac:dyDescent="0.3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  <c r="O9" s="52" t="s">
        <v>221</v>
      </c>
    </row>
    <row r="10" spans="1:15" ht="14.4" x14ac:dyDescent="0.3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  <c r="O10" s="24">
        <v>1</v>
      </c>
    </row>
    <row r="11" spans="1:15" ht="14.4" x14ac:dyDescent="0.3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  <c r="O11" s="24">
        <v>2</v>
      </c>
    </row>
    <row r="12" spans="1:15" ht="14.4" x14ac:dyDescent="0.3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  <c r="O12" s="24">
        <v>3</v>
      </c>
    </row>
    <row r="13" spans="1:15" ht="14.4" x14ac:dyDescent="0.3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  <c r="O13" s="24">
        <v>4</v>
      </c>
    </row>
    <row r="14" spans="1:15" ht="14.4" x14ac:dyDescent="0.3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  <c r="O14" s="24">
        <v>5</v>
      </c>
    </row>
    <row r="15" spans="1:15" ht="14.4" x14ac:dyDescent="0.3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  <c r="O15" s="24">
        <v>6</v>
      </c>
    </row>
    <row r="16" spans="1:15" ht="14.4" x14ac:dyDescent="0.3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  <c r="O16" s="24">
        <v>7</v>
      </c>
    </row>
    <row r="17" spans="1:15" ht="14.4" x14ac:dyDescent="0.3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  <c r="O17" s="24">
        <v>8</v>
      </c>
    </row>
    <row r="18" spans="1:15" ht="14.4" x14ac:dyDescent="0.3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  <c r="O18" s="24">
        <v>9</v>
      </c>
    </row>
    <row r="21" spans="1:15" ht="23.4" x14ac:dyDescent="0.45">
      <c r="A21" s="17" t="s">
        <v>167</v>
      </c>
    </row>
    <row r="22" spans="1:15" ht="14.4" x14ac:dyDescent="0.3">
      <c r="A22" s="13" t="s">
        <v>99</v>
      </c>
      <c r="B22" s="16" t="s">
        <v>100</v>
      </c>
      <c r="C22" s="15" t="s">
        <v>101</v>
      </c>
    </row>
    <row r="23" spans="1:15" ht="14.4" x14ac:dyDescent="0.3">
      <c r="A23" s="7">
        <v>10100</v>
      </c>
      <c r="B23" s="11">
        <v>10102</v>
      </c>
      <c r="C23" s="42">
        <f>INDEX(B10:J18,VLOOKUP(A23,M10:O18,3,0),VLOOKUP(B23,M10:O18,3,0))</f>
        <v>95</v>
      </c>
    </row>
    <row r="24" spans="1:15" ht="14.4" x14ac:dyDescent="0.3">
      <c r="A24" s="7">
        <v>10100</v>
      </c>
      <c r="B24" s="11">
        <v>10104</v>
      </c>
      <c r="C24" s="42">
        <f>INDEX(B10:J18,VLOOKUP(A24,M10:O18,3,0),VLOOKUP(B24,M10:O18,3,0))</f>
        <v>-1</v>
      </c>
    </row>
    <row r="25" spans="1:15" ht="14.4" x14ac:dyDescent="0.3">
      <c r="A25" s="7">
        <v>10108</v>
      </c>
      <c r="B25" s="11">
        <v>10102</v>
      </c>
      <c r="C25" s="42">
        <f>INDEX(B10:J18,VLOOKUP(A25,M10:O18,3,0),VLOOKUP(B25,M10:O18,3,0))</f>
        <v>160</v>
      </c>
    </row>
    <row r="26" spans="1:15" ht="14.4" x14ac:dyDescent="0.3">
      <c r="A26" s="7">
        <v>10100</v>
      </c>
      <c r="B26" s="11">
        <v>10106</v>
      </c>
      <c r="C26" s="42">
        <f>INDEX(B10:J18,VLOOKUP(A26,M10:O18,3,0),VLOOKUP(B26,M10:O18,3,0))</f>
        <v>185</v>
      </c>
    </row>
    <row r="27" spans="1:15" ht="14.4" x14ac:dyDescent="0.3">
      <c r="A27" s="7">
        <v>10108</v>
      </c>
      <c r="B27" s="11">
        <v>10110</v>
      </c>
      <c r="C27" s="42">
        <f>INDEX(B10:J18,VLOOKUP(A27,M10:O18,3,0),VLOOKUP(B27,M10:O18,3,0))</f>
        <v>50</v>
      </c>
    </row>
    <row r="28" spans="1:15" ht="14.4" x14ac:dyDescent="0.3">
      <c r="A28" s="7">
        <v>10102</v>
      </c>
      <c r="B28" s="11">
        <v>10104</v>
      </c>
      <c r="C28" s="42">
        <f>INDEX(B15:J23,VLOOKUP(A28,M10:O18,3,0),VLOOKUP(B28,M10:O18,3,0))</f>
        <v>295</v>
      </c>
    </row>
    <row r="29" spans="1:15" ht="14.4" x14ac:dyDescent="0.3">
      <c r="A29" s="7">
        <v>10106</v>
      </c>
      <c r="B29" s="11">
        <v>10108</v>
      </c>
      <c r="C29" s="42">
        <f>INDEX(B10:J18,VLOOKUP(A29,M10:O18,3,0),VLOOKUP(B29,M10:O18,3,0))</f>
        <v>70</v>
      </c>
    </row>
    <row r="30" spans="1:15" ht="14.4" x14ac:dyDescent="0.3">
      <c r="A30" s="7">
        <v>10102</v>
      </c>
      <c r="B30" s="11">
        <v>10106</v>
      </c>
      <c r="C30" s="42">
        <f>INDEX(B10:J18,VLOOKUP(A30,M10:O18,3,0),VLOOKUP(B30,M10:O18,3,0))</f>
        <v>90</v>
      </c>
    </row>
    <row r="31" spans="1:15" ht="14.4" x14ac:dyDescent="0.3">
      <c r="A31" s="7">
        <v>10110</v>
      </c>
      <c r="B31" s="11">
        <v>10114</v>
      </c>
      <c r="C31" s="42">
        <f>INDEX(B10:J18,VLOOKUP(A31,M10:O18,3,0),VLOOKUP(B31,M10:O18,3,0))</f>
        <v>180</v>
      </c>
    </row>
    <row r="32" spans="1:15" ht="14.4" x14ac:dyDescent="0.3">
      <c r="A32" s="7">
        <v>10104</v>
      </c>
      <c r="B32" s="11">
        <v>10106</v>
      </c>
      <c r="C32" s="42">
        <f>INDEX(B10:J18,VLOOKUP(A32,M10:O18,3,0),VLOOKUP(B32,M10:O18,3,0))</f>
        <v>60</v>
      </c>
    </row>
    <row r="33" spans="1:3" ht="14.4" x14ac:dyDescent="0.3">
      <c r="A33" s="7">
        <v>10110</v>
      </c>
      <c r="B33" s="11">
        <v>10112</v>
      </c>
      <c r="C33" s="42">
        <f>INDEX(B10:J18,VLOOKUP(A33,M10:O18,3,0),VLOOKUP(B33,M10:O18,3,0))</f>
        <v>115</v>
      </c>
    </row>
    <row r="34" spans="1:3" ht="14.4" x14ac:dyDescent="0.3">
      <c r="A34" s="7">
        <v>10100</v>
      </c>
      <c r="B34" s="11">
        <v>10114</v>
      </c>
      <c r="C34" s="42">
        <f>INDEX(B10:J18,VLOOKUP(A34,M10:O18,3,0),VLOOKUP(B34,M10:O18,3,0))</f>
        <v>480</v>
      </c>
    </row>
    <row r="35" spans="1:3" ht="14.4" x14ac:dyDescent="0.3">
      <c r="A35" s="9">
        <v>10112</v>
      </c>
      <c r="B35" s="12">
        <v>10116</v>
      </c>
      <c r="C35" s="43">
        <f>INDEX(B10:J18,VLOOKUP(A35,M10:O18,3,0),VLOOKUP(B35,M10:O18,3,0))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Abhishek Polekar</cp:lastModifiedBy>
  <dcterms:created xsi:type="dcterms:W3CDTF">2015-02-10T17:33:11Z</dcterms:created>
  <dcterms:modified xsi:type="dcterms:W3CDTF">2023-12-09T14:44:00Z</dcterms:modified>
</cp:coreProperties>
</file>